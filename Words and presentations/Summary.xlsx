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Ricks\OneDrive\Skrivbord\Arcada\Thesis\Words and presentations\"/>
    </mc:Choice>
  </mc:AlternateContent>
  <xr:revisionPtr revIDLastSave="0" documentId="13_ncr:9_{0AC03B3B-A630-43D6-A29C-CDDA1650BD8C}" xr6:coauthVersionLast="47" xr6:coauthVersionMax="47" xr10:uidLastSave="{00000000-0000-0000-0000-000000000000}"/>
  <bookViews>
    <workbookView xWindow="-108" yWindow="-108" windowWidth="23256" windowHeight="12576" xr2:uid="{C4CB651F-7FEE-48BF-9470-ACA0E920A745}"/>
  </bookViews>
  <sheets>
    <sheet name="Data och variabler" sheetId="2" r:id="rId1"/>
    <sheet name="Sheet3" sheetId="3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39" i="2" l="1"/>
  <c r="D39" i="2"/>
  <c r="C39" i="2"/>
  <c r="C1" i="2"/>
  <c r="B27" i="2"/>
  <c r="B28" i="2"/>
  <c r="B24" i="2"/>
  <c r="D1" i="2" l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C27" i="2"/>
  <c r="C28" i="2"/>
  <c r="N25" i="2" l="1"/>
  <c r="C38" i="2" s="1"/>
  <c r="B39" i="2" l="1"/>
  <c r="B38" i="2"/>
</calcChain>
</file>

<file path=xl/sharedStrings.xml><?xml version="1.0" encoding="utf-8"?>
<sst xmlns="http://purl.oclc.org/ooxml/spreadsheetml/main" count="210" uniqueCount="84">
  <si>
    <t xml:space="preserve"> Australia</t>
  </si>
  <si>
    <t xml:space="preserve"> Austria</t>
  </si>
  <si>
    <t xml:space="preserve"> Belgium</t>
  </si>
  <si>
    <t xml:space="preserve"> Canada</t>
  </si>
  <si>
    <t xml:space="preserve"> Denmark</t>
  </si>
  <si>
    <t xml:space="preserve"> Germany</t>
  </si>
  <si>
    <t xml:space="preserve"> Finland</t>
  </si>
  <si>
    <t xml:space="preserve"> France</t>
  </si>
  <si>
    <t xml:space="preserve"> Ireland</t>
  </si>
  <si>
    <t xml:space="preserve"> Italy</t>
  </si>
  <si>
    <t xml:space="preserve"> Japan</t>
  </si>
  <si>
    <t xml:space="preserve"> the Netherlands</t>
  </si>
  <si>
    <t xml:space="preserve"> Portugal</t>
  </si>
  <si>
    <t xml:space="preserve"> Spain</t>
  </si>
  <si>
    <t xml:space="preserve"> Sweden</t>
  </si>
  <si>
    <t>ID</t>
  </si>
  <si>
    <t>Country</t>
  </si>
  <si>
    <t>USA</t>
  </si>
  <si>
    <t xml:space="preserve"> UK</t>
  </si>
  <si>
    <t>Years</t>
  </si>
  <si>
    <t>Week</t>
  </si>
  <si>
    <t>Business day</t>
  </si>
  <si>
    <t>Yes</t>
  </si>
  <si>
    <t>ECB</t>
  </si>
  <si>
    <t>No</t>
  </si>
  <si>
    <t>FED</t>
  </si>
  <si>
    <t>RIKS</t>
  </si>
  <si>
    <t>BoE</t>
  </si>
  <si>
    <t>BoC</t>
  </si>
  <si>
    <t>BoJ</t>
  </si>
  <si>
    <t>CDS lags weekly</t>
  </si>
  <si>
    <t>CDS lags busniess daily</t>
  </si>
  <si>
    <t>Euribor 3M</t>
  </si>
  <si>
    <t>Euribor 6M</t>
  </si>
  <si>
    <t>Euribor 12</t>
  </si>
  <si>
    <t>Stibor 3M</t>
  </si>
  <si>
    <t>Stibor 6M</t>
  </si>
  <si>
    <t>Japan</t>
  </si>
  <si>
    <t>USD Libor 3M</t>
  </si>
  <si>
    <t>USD Libor 6M</t>
  </si>
  <si>
    <t>USD Libor 12M</t>
  </si>
  <si>
    <t>CD Libor 3M</t>
  </si>
  <si>
    <t>Pund Libor 3M</t>
  </si>
  <si>
    <t>Yuen Libor 3M</t>
  </si>
  <si>
    <t>Feature count 1</t>
  </si>
  <si>
    <t>Weekly</t>
  </si>
  <si>
    <t>Basic</t>
  </si>
  <si>
    <t xml:space="preserve">CDS spreads per land </t>
  </si>
  <si>
    <t>Euribor/Sribor/Libor 1 vecka</t>
  </si>
  <si>
    <t>Euribor/Sribor/Libor 1 månda</t>
  </si>
  <si>
    <t>Euribor/Sribor/Libor 3 månda</t>
  </si>
  <si>
    <t>Euribor/Sribor/Libor 6 månda</t>
  </si>
  <si>
    <t>Euribor/Sribor/Libor 12 månda</t>
  </si>
  <si>
    <t>Treasury becnhmark 5 year (alla länder)</t>
  </si>
  <si>
    <t>China</t>
  </si>
  <si>
    <t>Ratings, specially ratings changes</t>
  </si>
  <si>
    <t xml:space="preserve">Variabler  daily </t>
  </si>
  <si>
    <t>Equity indeces</t>
  </si>
  <si>
    <t>FX rates</t>
  </si>
  <si>
    <t xml:space="preserve">coutnries </t>
  </si>
  <si>
    <t>Fin</t>
  </si>
  <si>
    <t>SWE</t>
  </si>
  <si>
    <t>DE</t>
  </si>
  <si>
    <t>GER</t>
  </si>
  <si>
    <t>FRA</t>
  </si>
  <si>
    <t>IT</t>
  </si>
  <si>
    <t>SPAIN</t>
  </si>
  <si>
    <t>Unemployment</t>
  </si>
  <si>
    <t>NE</t>
  </si>
  <si>
    <t>Irland</t>
  </si>
  <si>
    <t>Enegry prices</t>
  </si>
  <si>
    <t>Food prices</t>
  </si>
  <si>
    <t>6.OKT</t>
  </si>
  <si>
    <t>US</t>
  </si>
  <si>
    <t>Relse schedual okt</t>
  </si>
  <si>
    <t>UK</t>
  </si>
  <si>
    <t>3.OKT</t>
  </si>
  <si>
    <t>HCPI/CPI</t>
  </si>
  <si>
    <t>15 OKT</t>
  </si>
  <si>
    <t>OKT 14</t>
  </si>
  <si>
    <t>21 okt</t>
  </si>
  <si>
    <t>14 okt</t>
  </si>
  <si>
    <t>För 7 länder</t>
  </si>
  <si>
    <t>för 30 länder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</si>
</sst>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8876-C849-4F2E-B228-A746EAD9B2E9}">
  <dimension ref="A1:Z39"/>
  <sheetViews>
    <sheetView tabSelected="1" topLeftCell="A20" workbookViewId="0">
      <selection activeCell="E40" sqref="E40"/>
    </sheetView>
  </sheetViews>
  <sheetFormatPr defaultRowHeight="14.4" x14ac:dyDescent="0.3"/>
  <cols>
    <col min="2" max="2" width="16.44140625" bestFit="1" customWidth="1"/>
    <col min="3" max="3" width="11.33203125" bestFit="1" customWidth="1"/>
    <col min="6" max="6" width="32.77734375" bestFit="1" customWidth="1"/>
    <col min="9" max="9" width="10.109375" bestFit="1" customWidth="1"/>
    <col min="10" max="10" width="13.88671875" bestFit="1" customWidth="1"/>
    <col min="11" max="11" width="19.6640625" bestFit="1" customWidth="1"/>
    <col min="12" max="13" width="8.44140625" bestFit="1" customWidth="1"/>
    <col min="14" max="14" width="9.109375" bestFit="1" customWidth="1"/>
    <col min="15" max="16" width="11.5546875" bestFit="1" customWidth="1"/>
    <col min="17" max="17" width="12.5546875" bestFit="1" customWidth="1"/>
    <col min="18" max="20" width="10.5546875" bestFit="1" customWidth="1"/>
    <col min="21" max="23" width="12.21875" bestFit="1" customWidth="1"/>
    <col min="24" max="26" width="12.109375" bestFit="1" customWidth="1"/>
  </cols>
  <sheetData>
    <row r="1" spans="1:26" x14ac:dyDescent="0.3">
      <c r="C1">
        <f>1</f>
        <v>1</v>
      </c>
      <c r="D1">
        <f>C1+$C$24</f>
        <v>2</v>
      </c>
      <c r="E1">
        <f t="shared" ref="E1:Z1" si="0">D1+$C$24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</row>
    <row r="2" spans="1:26" x14ac:dyDescent="0.3">
      <c r="A2" t="s">
        <v>15</v>
      </c>
      <c r="B2" t="s">
        <v>16</v>
      </c>
      <c r="C2" t="s">
        <v>23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34</v>
      </c>
      <c r="O2" t="s">
        <v>38</v>
      </c>
      <c r="P2" t="s">
        <v>39</v>
      </c>
      <c r="Q2" t="s">
        <v>40</v>
      </c>
      <c r="R2" t="s">
        <v>41</v>
      </c>
      <c r="S2" t="s">
        <v>41</v>
      </c>
      <c r="T2" t="s">
        <v>41</v>
      </c>
      <c r="U2" t="s">
        <v>42</v>
      </c>
      <c r="V2" t="s">
        <v>42</v>
      </c>
      <c r="W2" t="s">
        <v>42</v>
      </c>
      <c r="X2" t="s">
        <v>43</v>
      </c>
      <c r="Y2" t="s">
        <v>43</v>
      </c>
      <c r="Z2" t="s">
        <v>43</v>
      </c>
    </row>
    <row r="3" spans="1:26" x14ac:dyDescent="0.3">
      <c r="A3">
        <v>1</v>
      </c>
      <c r="B3" t="s">
        <v>0</v>
      </c>
      <c r="C3" t="s">
        <v>22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</row>
    <row r="4" spans="1:26" x14ac:dyDescent="0.3">
      <c r="A4">
        <v>2</v>
      </c>
      <c r="B4" t="s">
        <v>1</v>
      </c>
      <c r="C4" t="s">
        <v>22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</row>
    <row r="5" spans="1:26" x14ac:dyDescent="0.3">
      <c r="A5">
        <v>3</v>
      </c>
      <c r="B5" t="s">
        <v>2</v>
      </c>
      <c r="C5" s="1" t="s">
        <v>22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</row>
    <row r="6" spans="1:26" x14ac:dyDescent="0.3">
      <c r="A6">
        <v>4</v>
      </c>
      <c r="B6" t="s">
        <v>3</v>
      </c>
      <c r="C6" s="1" t="s">
        <v>24</v>
      </c>
      <c r="D6" t="s">
        <v>24</v>
      </c>
      <c r="E6" t="s">
        <v>24</v>
      </c>
      <c r="F6" t="s">
        <v>24</v>
      </c>
      <c r="G6" t="s">
        <v>22</v>
      </c>
      <c r="H6" t="s">
        <v>24</v>
      </c>
    </row>
    <row r="7" spans="1:26" x14ac:dyDescent="0.3">
      <c r="A7">
        <v>5</v>
      </c>
      <c r="B7" t="s">
        <v>4</v>
      </c>
      <c r="C7" s="1" t="s">
        <v>22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</row>
    <row r="8" spans="1:26" x14ac:dyDescent="0.3">
      <c r="A8">
        <v>6</v>
      </c>
      <c r="B8" s="3" t="s">
        <v>5</v>
      </c>
      <c r="C8" s="1" t="s">
        <v>22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</row>
    <row r="9" spans="1:26" x14ac:dyDescent="0.3">
      <c r="A9">
        <v>7</v>
      </c>
      <c r="B9" t="s">
        <v>6</v>
      </c>
      <c r="C9" s="1" t="s">
        <v>22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</row>
    <row r="10" spans="1:26" x14ac:dyDescent="0.3">
      <c r="A10">
        <v>8</v>
      </c>
      <c r="B10" s="3" t="s">
        <v>7</v>
      </c>
      <c r="C10" s="1" t="s">
        <v>22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</row>
    <row r="11" spans="1:26" x14ac:dyDescent="0.3">
      <c r="A11">
        <v>9</v>
      </c>
      <c r="B11" t="s">
        <v>8</v>
      </c>
      <c r="C11" s="1" t="s">
        <v>22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</row>
    <row r="12" spans="1:26" x14ac:dyDescent="0.3">
      <c r="A12">
        <v>10</v>
      </c>
      <c r="B12" s="3" t="s">
        <v>9</v>
      </c>
      <c r="C12" s="1" t="s">
        <v>22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</row>
    <row r="13" spans="1:26" x14ac:dyDescent="0.3">
      <c r="A13">
        <v>11</v>
      </c>
      <c r="B13" s="3" t="s">
        <v>10</v>
      </c>
      <c r="C13" s="1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22</v>
      </c>
    </row>
    <row r="14" spans="1:26" x14ac:dyDescent="0.3">
      <c r="A14">
        <v>13</v>
      </c>
      <c r="B14" t="s">
        <v>11</v>
      </c>
      <c r="C14" s="1" t="s">
        <v>22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</row>
    <row r="15" spans="1:26" x14ac:dyDescent="0.3">
      <c r="A15">
        <v>14</v>
      </c>
      <c r="B15" t="s">
        <v>12</v>
      </c>
      <c r="C15" s="1" t="s">
        <v>22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</row>
    <row r="16" spans="1:26" x14ac:dyDescent="0.3">
      <c r="A16">
        <v>15</v>
      </c>
      <c r="B16" s="3" t="s">
        <v>13</v>
      </c>
      <c r="C16" s="1" t="s">
        <v>22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</row>
    <row r="17" spans="1:14" x14ac:dyDescent="0.3">
      <c r="A17">
        <v>16</v>
      </c>
      <c r="B17" t="s">
        <v>14</v>
      </c>
      <c r="C17" s="1" t="s">
        <v>24</v>
      </c>
      <c r="D17" t="s">
        <v>24</v>
      </c>
      <c r="E17" t="s">
        <v>22</v>
      </c>
      <c r="F17" t="s">
        <v>24</v>
      </c>
      <c r="G17" t="s">
        <v>24</v>
      </c>
      <c r="H17" t="s">
        <v>24</v>
      </c>
    </row>
    <row r="18" spans="1:14" x14ac:dyDescent="0.3">
      <c r="A18">
        <v>18</v>
      </c>
      <c r="B18" s="3" t="s">
        <v>18</v>
      </c>
      <c r="C18" s="1" t="s">
        <v>24</v>
      </c>
      <c r="D18" t="s">
        <v>24</v>
      </c>
      <c r="E18" t="s">
        <v>24</v>
      </c>
      <c r="F18" t="s">
        <v>22</v>
      </c>
      <c r="G18" t="s">
        <v>24</v>
      </c>
      <c r="H18" t="s">
        <v>24</v>
      </c>
    </row>
    <row r="19" spans="1:14" x14ac:dyDescent="0.3">
      <c r="A19">
        <v>19</v>
      </c>
      <c r="B19" s="3" t="s">
        <v>17</v>
      </c>
      <c r="C19" s="1" t="s">
        <v>22</v>
      </c>
      <c r="D19" t="s">
        <v>22</v>
      </c>
      <c r="E19" t="s">
        <v>24</v>
      </c>
      <c r="F19" t="s">
        <v>24</v>
      </c>
      <c r="G19" t="s">
        <v>24</v>
      </c>
      <c r="H19" t="s">
        <v>24</v>
      </c>
    </row>
    <row r="20" spans="1:14" x14ac:dyDescent="0.3">
      <c r="A20">
        <v>20</v>
      </c>
      <c r="B20" s="3" t="s">
        <v>54</v>
      </c>
      <c r="C20" s="1"/>
    </row>
    <row r="21" spans="1:14" x14ac:dyDescent="0.3">
      <c r="A21">
        <v>21</v>
      </c>
      <c r="B21" s="3" t="s">
        <v>37</v>
      </c>
      <c r="C21" s="1"/>
    </row>
    <row r="22" spans="1:14" x14ac:dyDescent="0.3">
      <c r="C22" s="1"/>
    </row>
    <row r="23" spans="1:14" x14ac:dyDescent="0.3">
      <c r="C23" s="1"/>
    </row>
    <row r="24" spans="1:14" x14ac:dyDescent="0.3">
      <c r="A24">
        <v>52</v>
      </c>
      <c r="B24">
        <f>20*12</f>
        <v>240</v>
      </c>
      <c r="C24">
        <v>1</v>
      </c>
      <c r="J24" t="s">
        <v>30</v>
      </c>
      <c r="K24" t="s">
        <v>31</v>
      </c>
      <c r="N24" t="s">
        <v>44</v>
      </c>
    </row>
    <row r="25" spans="1:14" x14ac:dyDescent="0.3">
      <c r="F25" t="s">
        <v>56</v>
      </c>
      <c r="J25">
        <v>8</v>
      </c>
      <c r="K25">
        <v>20</v>
      </c>
      <c r="N25">
        <f>COUNT(C1:Z1)</f>
        <v>24</v>
      </c>
    </row>
    <row r="26" spans="1:14" x14ac:dyDescent="0.3">
      <c r="A26" t="s">
        <v>19</v>
      </c>
      <c r="B26" t="s">
        <v>20</v>
      </c>
      <c r="C26" t="s">
        <v>21</v>
      </c>
      <c r="F26" t="s">
        <v>47</v>
      </c>
      <c r="G26" t="s">
        <v>55</v>
      </c>
    </row>
    <row r="27" spans="1:14" x14ac:dyDescent="0.3">
      <c r="A27">
        <v>10</v>
      </c>
      <c r="B27">
        <f>$A$24*A27</f>
        <v>520</v>
      </c>
      <c r="C27">
        <f>A27*$B$24</f>
        <v>2400</v>
      </c>
      <c r="F27" t="s">
        <v>48</v>
      </c>
    </row>
    <row r="28" spans="1:14" x14ac:dyDescent="0.3">
      <c r="A28">
        <v>15</v>
      </c>
      <c r="B28">
        <f>$A$24*A28</f>
        <v>780</v>
      </c>
      <c r="C28">
        <f>A28*$B$24</f>
        <v>3600</v>
      </c>
      <c r="F28" t="s">
        <v>49</v>
      </c>
    </row>
    <row r="29" spans="1:14" x14ac:dyDescent="0.3">
      <c r="F29" t="s">
        <v>50</v>
      </c>
    </row>
    <row r="30" spans="1:14" x14ac:dyDescent="0.3">
      <c r="F30" t="s">
        <v>51</v>
      </c>
    </row>
    <row r="31" spans="1:14" x14ac:dyDescent="0.3">
      <c r="F31" t="s">
        <v>52</v>
      </c>
    </row>
    <row r="32" spans="1:14" x14ac:dyDescent="0.3">
      <c r="F32" t="s">
        <v>53</v>
      </c>
    </row>
    <row r="33" spans="1:6" x14ac:dyDescent="0.3">
      <c r="F33" t="s">
        <v>57</v>
      </c>
    </row>
    <row r="34" spans="1:6" x14ac:dyDescent="0.3">
      <c r="F34" t="s">
        <v>58</v>
      </c>
    </row>
    <row r="36" spans="1:6" x14ac:dyDescent="0.3">
      <c r="A36" t="s">
        <v>46</v>
      </c>
    </row>
    <row r="37" spans="1:6" x14ac:dyDescent="0.3">
      <c r="A37" t="s">
        <v>19</v>
      </c>
      <c r="B37" t="s">
        <v>45</v>
      </c>
      <c r="C37" t="s">
        <v>21</v>
      </c>
      <c r="D37" t="s">
        <v>82</v>
      </c>
      <c r="E37" t="s">
        <v>83</v>
      </c>
    </row>
    <row r="38" spans="1:6" x14ac:dyDescent="0.3">
      <c r="A38">
        <v>10</v>
      </c>
      <c r="B38" s="2">
        <f>B27*N25+(J25*B27)</f>
        <v>16640</v>
      </c>
      <c r="C38" s="2">
        <f>C27*N25+(K25*C27)</f>
        <v>105600</v>
      </c>
      <c r="D38" s="2"/>
      <c r="E38" s="2"/>
    </row>
    <row r="39" spans="1:6" x14ac:dyDescent="0.3">
      <c r="A39">
        <v>15</v>
      </c>
      <c r="B39" s="2">
        <f>B28*N25+(J25*B28)</f>
        <v>24960</v>
      </c>
      <c r="C39" s="2">
        <f>C28*N25+(K25*C28)</f>
        <v>158400</v>
      </c>
      <c r="D39" s="2">
        <f>C28*7</f>
        <v>25200</v>
      </c>
      <c r="E39" s="2">
        <f>$C$28*21</f>
        <v>75600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0B5A-3E6A-4D84-9C94-223D96B88DBF}">
  <dimension ref="A1:E19"/>
  <sheetViews>
    <sheetView workbookViewId="0">
      <selection activeCell="K11" sqref="K11"/>
    </sheetView>
  </sheetViews>
  <sheetFormatPr defaultRowHeight="14.4" x14ac:dyDescent="0.3"/>
  <cols>
    <col min="1" max="1" width="19.88671875" bestFit="1" customWidth="1"/>
    <col min="2" max="2" width="13.21875" bestFit="1" customWidth="1"/>
    <col min="3" max="3" width="8.5546875" bestFit="1" customWidth="1"/>
    <col min="4" max="4" width="11.6640625" bestFit="1" customWidth="1"/>
    <col min="5" max="5" width="10.33203125" bestFit="1" customWidth="1"/>
  </cols>
  <sheetData>
    <row r="1" spans="1:5" x14ac:dyDescent="0.3">
      <c r="A1" t="s">
        <v>74</v>
      </c>
    </row>
    <row r="2" spans="1:5" x14ac:dyDescent="0.3">
      <c r="A2" t="s">
        <v>59</v>
      </c>
      <c r="B2" t="s">
        <v>67</v>
      </c>
      <c r="C2" t="s">
        <v>77</v>
      </c>
      <c r="D2" t="s">
        <v>70</v>
      </c>
      <c r="E2" t="s">
        <v>71</v>
      </c>
    </row>
    <row r="3" spans="1:5" x14ac:dyDescent="0.3">
      <c r="A3" t="s">
        <v>60</v>
      </c>
      <c r="B3" t="s">
        <v>80</v>
      </c>
      <c r="C3" t="s">
        <v>81</v>
      </c>
    </row>
    <row r="4" spans="1:5" x14ac:dyDescent="0.3">
      <c r="A4" t="s">
        <v>61</v>
      </c>
      <c r="C4" t="s">
        <v>81</v>
      </c>
    </row>
    <row r="5" spans="1:5" x14ac:dyDescent="0.3">
      <c r="A5" t="s">
        <v>62</v>
      </c>
      <c r="C5" t="s">
        <v>81</v>
      </c>
    </row>
    <row r="6" spans="1:5" x14ac:dyDescent="0.3">
      <c r="A6" t="s">
        <v>63</v>
      </c>
      <c r="C6" t="s">
        <v>81</v>
      </c>
    </row>
    <row r="7" spans="1:5" x14ac:dyDescent="0.3">
      <c r="A7" t="s">
        <v>64</v>
      </c>
      <c r="C7" t="s">
        <v>81</v>
      </c>
    </row>
    <row r="8" spans="1:5" x14ac:dyDescent="0.3">
      <c r="A8" t="s">
        <v>65</v>
      </c>
      <c r="C8" t="s">
        <v>81</v>
      </c>
    </row>
    <row r="9" spans="1:5" x14ac:dyDescent="0.3">
      <c r="A9" t="s">
        <v>66</v>
      </c>
      <c r="C9" t="s">
        <v>81</v>
      </c>
    </row>
    <row r="10" spans="1:5" x14ac:dyDescent="0.3">
      <c r="A10" t="s">
        <v>68</v>
      </c>
      <c r="C10" t="s">
        <v>81</v>
      </c>
    </row>
    <row r="11" spans="1:5" x14ac:dyDescent="0.3">
      <c r="A11" t="s">
        <v>1</v>
      </c>
      <c r="C11" t="s">
        <v>81</v>
      </c>
    </row>
    <row r="12" spans="1:5" x14ac:dyDescent="0.3">
      <c r="A12" t="s">
        <v>2</v>
      </c>
      <c r="C12" t="s">
        <v>81</v>
      </c>
    </row>
    <row r="13" spans="1:5" x14ac:dyDescent="0.3">
      <c r="A13" t="s">
        <v>12</v>
      </c>
      <c r="C13" t="s">
        <v>81</v>
      </c>
    </row>
    <row r="14" spans="1:5" x14ac:dyDescent="0.3">
      <c r="A14" t="s">
        <v>69</v>
      </c>
      <c r="B14" t="s">
        <v>72</v>
      </c>
      <c r="C14" t="s">
        <v>81</v>
      </c>
    </row>
    <row r="15" spans="1:5" x14ac:dyDescent="0.3">
      <c r="A15" t="s">
        <v>73</v>
      </c>
      <c r="B15" t="s">
        <v>76</v>
      </c>
      <c r="C15" t="s">
        <v>78</v>
      </c>
    </row>
    <row r="16" spans="1:5" x14ac:dyDescent="0.3">
      <c r="A16" t="s">
        <v>75</v>
      </c>
      <c r="B16" t="s">
        <v>79</v>
      </c>
    </row>
    <row r="17" spans="1:1" x14ac:dyDescent="0.3">
      <c r="A17" t="s">
        <v>37</v>
      </c>
    </row>
    <row r="18" spans="1:1" x14ac:dyDescent="0.3">
      <c r="A18" t="s">
        <v>0</v>
      </c>
    </row>
    <row r="19" spans="1:1" x14ac:dyDescent="0.3">
      <c r="A19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och variabler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 Sjöberg</dc:creator>
  <cp:lastModifiedBy>Rickard Sjöberg</cp:lastModifiedBy>
  <dcterms:created xsi:type="dcterms:W3CDTF">2025-10-05T11:48:03Z</dcterms:created>
  <dcterms:modified xsi:type="dcterms:W3CDTF">2025-10-14T05:19:36Z</dcterms:modified>
</cp:coreProperties>
</file>